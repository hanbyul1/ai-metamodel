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e-kyookim/Library/CloudStorage/Dropbox/SEP2025/"/>
    </mc:Choice>
  </mc:AlternateContent>
  <xr:revisionPtr revIDLastSave="0" documentId="13_ncr:1_{05029A71-98D8-7843-8B60-581088D58A2D}" xr6:coauthVersionLast="47" xr6:coauthVersionMax="47" xr10:uidLastSave="{00000000-0000-0000-0000-000000000000}"/>
  <bookViews>
    <workbookView xWindow="520" yWindow="980" windowWidth="28040" windowHeight="17440" xr2:uid="{B123AE04-CDCC-EB44-B824-042ECE10BD68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3" i="1"/>
  <c r="L4" i="1"/>
  <c r="L2" i="1"/>
  <c r="J3" i="1"/>
  <c r="J4" i="1"/>
  <c r="J2" i="1"/>
  <c r="L5" i="2"/>
  <c r="L3" i="2"/>
  <c r="L4" i="2"/>
  <c r="L2" i="2"/>
  <c r="J3" i="2"/>
  <c r="J4" i="2"/>
  <c r="J2" i="2"/>
  <c r="J2" i="3"/>
  <c r="L2" i="3"/>
  <c r="J3" i="3"/>
  <c r="L3" i="3"/>
  <c r="J4" i="3"/>
  <c r="L4" i="3" s="1"/>
  <c r="L5" i="3" s="1"/>
</calcChain>
</file>

<file path=xl/sharedStrings.xml><?xml version="1.0" encoding="utf-8"?>
<sst xmlns="http://schemas.openxmlformats.org/spreadsheetml/2006/main" count="383" uniqueCount="97">
  <si>
    <t>Dimension</t>
  </si>
  <si>
    <t>Index</t>
  </si>
  <si>
    <t>Instance Name</t>
  </si>
  <si>
    <t>Instance Type</t>
  </si>
  <si>
    <t>Metaclass</t>
  </si>
  <si>
    <t>Figure</t>
  </si>
  <si>
    <t>Conceptual Constructs (C)</t>
  </si>
  <si>
    <t>Supervised</t>
  </si>
  <si>
    <t>training-metamodel</t>
  </si>
  <si>
    <t>SelfSupervised</t>
  </si>
  <si>
    <t>Multimodal</t>
  </si>
  <si>
    <t>model-metamodel</t>
  </si>
  <si>
    <t>Sequence</t>
  </si>
  <si>
    <t>Generation</t>
  </si>
  <si>
    <t>Autoregression</t>
  </si>
  <si>
    <t>LLaMA4</t>
  </si>
  <si>
    <t>Model</t>
  </si>
  <si>
    <t>core-metamodel</t>
  </si>
  <si>
    <t>MoE</t>
  </si>
  <si>
    <t>TopK</t>
  </si>
  <si>
    <t>Pipeline</t>
  </si>
  <si>
    <t>pipeline-metamodel</t>
  </si>
  <si>
    <t>Parameter</t>
  </si>
  <si>
    <t>Feedforward</t>
  </si>
  <si>
    <t>DecoderOnly</t>
  </si>
  <si>
    <t>transformer-metamodel</t>
  </si>
  <si>
    <t>LoRA</t>
  </si>
  <si>
    <t>FineTuning</t>
  </si>
  <si>
    <t>QLoRA</t>
  </si>
  <si>
    <t>positional</t>
  </si>
  <si>
    <t>Embedding</t>
  </si>
  <si>
    <t>layer-metamodel</t>
  </si>
  <si>
    <t>multi-head</t>
  </si>
  <si>
    <t>SelfAttention</t>
  </si>
  <si>
    <t>Attention</t>
  </si>
  <si>
    <t>RMSNorm</t>
  </si>
  <si>
    <t>Normalization</t>
  </si>
  <si>
    <t>SwiGLU</t>
  </si>
  <si>
    <t>ActivationFunction</t>
  </si>
  <si>
    <t>GQA</t>
  </si>
  <si>
    <t>CLIP</t>
  </si>
  <si>
    <t>Preprocessing</t>
  </si>
  <si>
    <t>KV</t>
  </si>
  <si>
    <t>Cache</t>
  </si>
  <si>
    <t>ContextWindow</t>
  </si>
  <si>
    <t>Hyperparameter</t>
  </si>
  <si>
    <t>NumberOfExpert</t>
  </si>
  <si>
    <t>ResidualConnection</t>
  </si>
  <si>
    <t>Internal Behaviors (B)</t>
  </si>
  <si>
    <t>iRoPE</t>
  </si>
  <si>
    <t>None</t>
  </si>
  <si>
    <t>causal self-attention masking</t>
  </si>
  <si>
    <t>multi-GPU sharding</t>
  </si>
  <si>
    <t>Component Interactions (I)</t>
  </si>
  <si>
    <t>RMSNorm + residual combination</t>
  </si>
  <si>
    <t>Text</t>
  </si>
  <si>
    <t>BLOOM</t>
  </si>
  <si>
    <t>standard</t>
  </si>
  <si>
    <t>BPE</t>
  </si>
  <si>
    <t>Tokenization</t>
  </si>
  <si>
    <t>GELU</t>
  </si>
  <si>
    <t>LayerNorm</t>
  </si>
  <si>
    <t>learningRate</t>
  </si>
  <si>
    <t>batchSize</t>
  </si>
  <si>
    <t>corpusSelection</t>
  </si>
  <si>
    <t>Multilingualism</t>
  </si>
  <si>
    <t>ALiBi positional encoding</t>
  </si>
  <si>
    <t>causal attention masking</t>
  </si>
  <si>
    <t>parameter-efficient training</t>
  </si>
  <si>
    <t>embedding-to-ALiBi-biased self-attention</t>
  </si>
  <si>
    <t>Embedding-to-Attention</t>
  </si>
  <si>
    <t>Attention-to-Feedforward flow</t>
  </si>
  <si>
    <t>Tokenizer-to-Embedding mapping</t>
  </si>
  <si>
    <t>LayerNorm and residual combination</t>
  </si>
  <si>
    <t>Seq2Seq</t>
  </si>
  <si>
    <t>TeacherForcing</t>
  </si>
  <si>
    <t>AgenticTransformerSeq2Seq</t>
  </si>
  <si>
    <t>Agent</t>
  </si>
  <si>
    <t>moe-metamodel</t>
  </si>
  <si>
    <t>Static</t>
  </si>
  <si>
    <t>Agentic</t>
  </si>
  <si>
    <t>Dynamic</t>
  </si>
  <si>
    <t>EncoderDecoder</t>
  </si>
  <si>
    <t>initial</t>
  </si>
  <si>
    <t>Training</t>
  </si>
  <si>
    <t>PostDeploymentTraining</t>
  </si>
  <si>
    <t>Causal Masking in the Decoder</t>
  </si>
  <si>
    <t>Positional Embedding Addition</t>
  </si>
  <si>
    <t>Shared Token Embedding Between Encoder and Decoder</t>
  </si>
  <si>
    <t>Static Routing via Role Head Projection</t>
  </si>
  <si>
    <t>Dynamic Routing with Temperature-Scaled Softmax</t>
  </si>
  <si>
    <t>Tokenization-to-Embedding Interaction</t>
  </si>
  <si>
    <t>Encoder-to-Decoder Memory Interaction</t>
  </si>
  <si>
    <t>Encoder-to-Dynamic Routing Module Interaction</t>
  </si>
  <si>
    <t>Training-to-Evaluation Transition</t>
  </si>
  <si>
    <t>Training-to-Testing</t>
  </si>
  <si>
    <t>Evaluation-to-Patch Dumping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</si>
</sst>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FC95-8D2C-A44E-A3F3-A43718858CC3}">
  <dimension ref="A1:L30"/>
  <sheetViews>
    <sheetView tabSelected="1" workbookViewId="0">
      <selection activeCell="L2" sqref="L2:L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">
      <c r="A2" t="s">
        <v>6</v>
      </c>
      <c r="B2">
        <v>1</v>
      </c>
      <c r="C2" t="s">
        <v>7</v>
      </c>
      <c r="E2" t="s">
        <v>7</v>
      </c>
      <c r="F2" t="s">
        <v>8</v>
      </c>
      <c r="H2">
        <v>25</v>
      </c>
      <c r="I2">
        <v>25</v>
      </c>
      <c r="J2">
        <f>H2/I2</f>
        <v>1</v>
      </c>
      <c r="K2">
        <v>0.7</v>
      </c>
      <c r="L2">
        <f>J2*K2</f>
        <v>0.7</v>
      </c>
    </row>
    <row r="3" spans="1:12" x14ac:dyDescent="0.2">
      <c r="A3" t="s">
        <v>6</v>
      </c>
      <c r="B3">
        <v>2</v>
      </c>
      <c r="C3" t="s">
        <v>9</v>
      </c>
      <c r="E3" t="s">
        <v>9</v>
      </c>
      <c r="F3" t="s">
        <v>8</v>
      </c>
      <c r="H3">
        <v>0</v>
      </c>
      <c r="I3">
        <v>3</v>
      </c>
      <c r="J3">
        <f t="shared" ref="J3:J4" si="0">H3/I3</f>
        <v>0</v>
      </c>
      <c r="K3">
        <v>0.1</v>
      </c>
      <c r="L3">
        <f t="shared" ref="L3:L4" si="1">J3*K3</f>
        <v>0</v>
      </c>
    </row>
    <row r="4" spans="1:12" x14ac:dyDescent="0.2">
      <c r="A4" t="s">
        <v>6</v>
      </c>
      <c r="B4">
        <v>3</v>
      </c>
      <c r="C4" t="s">
        <v>10</v>
      </c>
      <c r="E4" t="s">
        <v>10</v>
      </c>
      <c r="F4" t="s">
        <v>11</v>
      </c>
      <c r="H4">
        <v>0</v>
      </c>
      <c r="I4">
        <v>1</v>
      </c>
      <c r="J4">
        <f t="shared" si="0"/>
        <v>0</v>
      </c>
      <c r="K4">
        <v>0.2</v>
      </c>
      <c r="L4">
        <f t="shared" si="1"/>
        <v>0</v>
      </c>
    </row>
    <row r="5" spans="1:12" x14ac:dyDescent="0.2">
      <c r="A5" t="s">
        <v>6</v>
      </c>
      <c r="B5">
        <v>4</v>
      </c>
      <c r="C5" t="s">
        <v>12</v>
      </c>
      <c r="E5" t="s">
        <v>12</v>
      </c>
      <c r="F5" t="s">
        <v>11</v>
      </c>
      <c r="L5">
        <f>SUM(L2:L4)</f>
        <v>0.7</v>
      </c>
    </row>
    <row r="6" spans="1:12" x14ac:dyDescent="0.2">
      <c r="A6" t="s">
        <v>6</v>
      </c>
      <c r="B6">
        <v>5</v>
      </c>
      <c r="C6" t="s">
        <v>13</v>
      </c>
      <c r="E6" t="s">
        <v>13</v>
      </c>
      <c r="F6" t="s">
        <v>11</v>
      </c>
    </row>
    <row r="7" spans="1:12" x14ac:dyDescent="0.2">
      <c r="A7" t="s">
        <v>6</v>
      </c>
      <c r="B7">
        <v>6</v>
      </c>
      <c r="C7" t="s">
        <v>14</v>
      </c>
      <c r="E7" t="s">
        <v>14</v>
      </c>
      <c r="F7" t="s">
        <v>11</v>
      </c>
    </row>
    <row r="8" spans="1:12" x14ac:dyDescent="0.2">
      <c r="A8" t="s">
        <v>6</v>
      </c>
      <c r="B8">
        <v>7</v>
      </c>
      <c r="C8" t="s">
        <v>15</v>
      </c>
      <c r="D8" t="s">
        <v>16</v>
      </c>
      <c r="E8" t="s">
        <v>16</v>
      </c>
      <c r="F8" t="s">
        <v>17</v>
      </c>
    </row>
    <row r="9" spans="1:12" x14ac:dyDescent="0.2">
      <c r="A9" t="s">
        <v>6</v>
      </c>
      <c r="B9">
        <v>8</v>
      </c>
      <c r="C9" t="s">
        <v>18</v>
      </c>
      <c r="E9" t="s">
        <v>18</v>
      </c>
      <c r="F9" t="s">
        <v>11</v>
      </c>
    </row>
    <row r="10" spans="1:12" x14ac:dyDescent="0.2">
      <c r="A10" t="s">
        <v>6</v>
      </c>
      <c r="B10">
        <v>9</v>
      </c>
      <c r="C10" t="s">
        <v>19</v>
      </c>
      <c r="E10" t="s">
        <v>19</v>
      </c>
      <c r="F10" t="s">
        <v>11</v>
      </c>
    </row>
    <row r="11" spans="1:12" x14ac:dyDescent="0.2">
      <c r="A11" t="s">
        <v>6</v>
      </c>
      <c r="B11">
        <v>10</v>
      </c>
      <c r="C11" t="s">
        <v>20</v>
      </c>
      <c r="E11" t="s">
        <v>20</v>
      </c>
      <c r="F11" t="s">
        <v>21</v>
      </c>
    </row>
    <row r="12" spans="1:12" x14ac:dyDescent="0.2">
      <c r="A12" t="s">
        <v>6</v>
      </c>
      <c r="B12">
        <v>11</v>
      </c>
      <c r="C12" t="s">
        <v>22</v>
      </c>
      <c r="E12" t="s">
        <v>22</v>
      </c>
      <c r="F12" t="s">
        <v>17</v>
      </c>
    </row>
    <row r="13" spans="1:12" x14ac:dyDescent="0.2">
      <c r="A13" t="s">
        <v>6</v>
      </c>
      <c r="B13">
        <v>12</v>
      </c>
      <c r="C13" t="s">
        <v>23</v>
      </c>
      <c r="E13" t="s">
        <v>23</v>
      </c>
      <c r="F13" t="s">
        <v>11</v>
      </c>
    </row>
    <row r="14" spans="1:12" x14ac:dyDescent="0.2">
      <c r="A14" t="s">
        <v>6</v>
      </c>
      <c r="B14">
        <v>13</v>
      </c>
      <c r="C14" t="s">
        <v>24</v>
      </c>
      <c r="E14" t="s">
        <v>24</v>
      </c>
      <c r="F14" t="s">
        <v>25</v>
      </c>
    </row>
    <row r="15" spans="1:12" x14ac:dyDescent="0.2">
      <c r="A15" t="s">
        <v>6</v>
      </c>
      <c r="B15">
        <v>14</v>
      </c>
      <c r="C15" t="s">
        <v>26</v>
      </c>
      <c r="D15" t="s">
        <v>27</v>
      </c>
      <c r="E15" t="s">
        <v>27</v>
      </c>
      <c r="F15" t="s">
        <v>21</v>
      </c>
    </row>
    <row r="16" spans="1:12" x14ac:dyDescent="0.2">
      <c r="A16" t="s">
        <v>6</v>
      </c>
      <c r="B16">
        <v>15</v>
      </c>
      <c r="C16" t="s">
        <v>28</v>
      </c>
      <c r="D16" t="s">
        <v>27</v>
      </c>
      <c r="E16" t="s">
        <v>27</v>
      </c>
      <c r="F16" t="s">
        <v>21</v>
      </c>
    </row>
    <row r="17" spans="1:6" x14ac:dyDescent="0.2">
      <c r="A17" t="s">
        <v>6</v>
      </c>
      <c r="B17">
        <v>16</v>
      </c>
      <c r="C17" t="s">
        <v>29</v>
      </c>
      <c r="D17" t="s">
        <v>30</v>
      </c>
      <c r="E17" t="s">
        <v>30</v>
      </c>
      <c r="F17" t="s">
        <v>31</v>
      </c>
    </row>
    <row r="18" spans="1:6" x14ac:dyDescent="0.2">
      <c r="A18" t="s">
        <v>6</v>
      </c>
      <c r="B18">
        <v>17</v>
      </c>
      <c r="C18" t="s">
        <v>32</v>
      </c>
      <c r="D18" t="s">
        <v>33</v>
      </c>
      <c r="E18" t="s">
        <v>34</v>
      </c>
      <c r="F18" t="s">
        <v>31</v>
      </c>
    </row>
    <row r="19" spans="1:6" x14ac:dyDescent="0.2">
      <c r="A19" t="s">
        <v>6</v>
      </c>
      <c r="B19">
        <v>18</v>
      </c>
      <c r="C19" t="s">
        <v>35</v>
      </c>
      <c r="D19" t="s">
        <v>36</v>
      </c>
      <c r="E19" t="s">
        <v>36</v>
      </c>
      <c r="F19" t="s">
        <v>31</v>
      </c>
    </row>
    <row r="20" spans="1:6" x14ac:dyDescent="0.2">
      <c r="A20" t="s">
        <v>6</v>
      </c>
      <c r="B20">
        <v>19</v>
      </c>
      <c r="C20" t="s">
        <v>37</v>
      </c>
      <c r="D20" t="s">
        <v>38</v>
      </c>
      <c r="E20" t="s">
        <v>38</v>
      </c>
      <c r="F20" t="s">
        <v>8</v>
      </c>
    </row>
    <row r="21" spans="1:6" x14ac:dyDescent="0.2">
      <c r="A21" t="s">
        <v>6</v>
      </c>
      <c r="B21">
        <v>20</v>
      </c>
      <c r="C21" t="s">
        <v>39</v>
      </c>
      <c r="D21" t="s">
        <v>34</v>
      </c>
      <c r="E21" t="s">
        <v>34</v>
      </c>
      <c r="F21" t="s">
        <v>31</v>
      </c>
    </row>
    <row r="22" spans="1:6" x14ac:dyDescent="0.2">
      <c r="A22" t="s">
        <v>6</v>
      </c>
      <c r="B22">
        <v>21</v>
      </c>
      <c r="C22" t="s">
        <v>40</v>
      </c>
      <c r="D22" t="s">
        <v>41</v>
      </c>
      <c r="E22" t="s">
        <v>41</v>
      </c>
      <c r="F22" t="s">
        <v>21</v>
      </c>
    </row>
    <row r="23" spans="1:6" x14ac:dyDescent="0.2">
      <c r="A23" t="s">
        <v>6</v>
      </c>
      <c r="B23">
        <v>22</v>
      </c>
      <c r="C23" t="s">
        <v>42</v>
      </c>
      <c r="D23" t="s">
        <v>43</v>
      </c>
      <c r="E23" t="s">
        <v>43</v>
      </c>
      <c r="F23" t="s">
        <v>21</v>
      </c>
    </row>
    <row r="24" spans="1:6" x14ac:dyDescent="0.2">
      <c r="A24" t="s">
        <v>6</v>
      </c>
      <c r="B24">
        <v>23</v>
      </c>
      <c r="C24" t="s">
        <v>44</v>
      </c>
      <c r="E24" t="s">
        <v>45</v>
      </c>
      <c r="F24" t="s">
        <v>17</v>
      </c>
    </row>
    <row r="25" spans="1:6" x14ac:dyDescent="0.2">
      <c r="A25" t="s">
        <v>6</v>
      </c>
      <c r="B25">
        <v>24</v>
      </c>
      <c r="C25" t="s">
        <v>46</v>
      </c>
      <c r="E25" t="s">
        <v>45</v>
      </c>
      <c r="F25" t="s">
        <v>17</v>
      </c>
    </row>
    <row r="26" spans="1:6" x14ac:dyDescent="0.2">
      <c r="A26" t="s">
        <v>6</v>
      </c>
      <c r="B26">
        <v>25</v>
      </c>
      <c r="C26" t="s">
        <v>47</v>
      </c>
      <c r="E26" t="s">
        <v>47</v>
      </c>
      <c r="F26" t="s">
        <v>31</v>
      </c>
    </row>
    <row r="27" spans="1:6" x14ac:dyDescent="0.2">
      <c r="A27" t="s">
        <v>48</v>
      </c>
      <c r="B27">
        <v>1</v>
      </c>
      <c r="C27" t="s">
        <v>49</v>
      </c>
      <c r="E27" t="s">
        <v>50</v>
      </c>
      <c r="F27" t="s">
        <v>50</v>
      </c>
    </row>
    <row r="28" spans="1:6" x14ac:dyDescent="0.2">
      <c r="A28" t="s">
        <v>48</v>
      </c>
      <c r="B28">
        <v>2</v>
      </c>
      <c r="C28" t="s">
        <v>51</v>
      </c>
      <c r="E28" t="s">
        <v>50</v>
      </c>
      <c r="F28" t="s">
        <v>50</v>
      </c>
    </row>
    <row r="29" spans="1:6" x14ac:dyDescent="0.2">
      <c r="A29" t="s">
        <v>48</v>
      </c>
      <c r="B29">
        <v>3</v>
      </c>
      <c r="C29" t="s">
        <v>52</v>
      </c>
      <c r="E29" t="s">
        <v>50</v>
      </c>
      <c r="F29" t="s">
        <v>50</v>
      </c>
    </row>
    <row r="30" spans="1:6" x14ac:dyDescent="0.2">
      <c r="A30" t="s">
        <v>53</v>
      </c>
      <c r="B30">
        <v>1</v>
      </c>
      <c r="C30" t="s">
        <v>54</v>
      </c>
      <c r="E30" t="s">
        <v>50</v>
      </c>
      <c r="F3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EBE1-DDDC-8348-A174-398989DC00E8}">
  <dimension ref="A1:L32"/>
  <sheetViews>
    <sheetView workbookViewId="0">
      <selection activeCell="L2" sqref="L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">
      <c r="A2" t="s">
        <v>6</v>
      </c>
      <c r="B2">
        <v>1</v>
      </c>
      <c r="C2" t="s">
        <v>7</v>
      </c>
      <c r="E2" t="s">
        <v>7</v>
      </c>
      <c r="F2" t="s">
        <v>8</v>
      </c>
      <c r="H2">
        <v>21</v>
      </c>
      <c r="I2">
        <v>22</v>
      </c>
      <c r="J2">
        <f>H2/I2</f>
        <v>0.95454545454545459</v>
      </c>
      <c r="K2">
        <v>0.7</v>
      </c>
      <c r="L2">
        <f>J2*K2</f>
        <v>0.66818181818181821</v>
      </c>
    </row>
    <row r="3" spans="1:12" x14ac:dyDescent="0.2">
      <c r="A3" t="s">
        <v>6</v>
      </c>
      <c r="B3">
        <v>2</v>
      </c>
      <c r="C3" t="s">
        <v>9</v>
      </c>
      <c r="E3" t="s">
        <v>9</v>
      </c>
      <c r="F3" t="s">
        <v>8</v>
      </c>
      <c r="H3">
        <v>0</v>
      </c>
      <c r="I3">
        <v>3</v>
      </c>
      <c r="J3">
        <f t="shared" ref="J3:J4" si="0">H3/I3</f>
        <v>0</v>
      </c>
      <c r="K3">
        <v>0.1</v>
      </c>
      <c r="L3">
        <f t="shared" ref="L3:L4" si="1">J3*K3</f>
        <v>0</v>
      </c>
    </row>
    <row r="4" spans="1:12" x14ac:dyDescent="0.2">
      <c r="A4" t="s">
        <v>6</v>
      </c>
      <c r="B4">
        <v>3</v>
      </c>
      <c r="C4" t="s">
        <v>55</v>
      </c>
      <c r="E4" t="s">
        <v>55</v>
      </c>
      <c r="F4" t="s">
        <v>11</v>
      </c>
      <c r="H4">
        <v>1</v>
      </c>
      <c r="I4">
        <v>4</v>
      </c>
      <c r="J4">
        <f t="shared" si="0"/>
        <v>0.25</v>
      </c>
      <c r="K4">
        <v>0.2</v>
      </c>
      <c r="L4">
        <f t="shared" si="1"/>
        <v>0.05</v>
      </c>
    </row>
    <row r="5" spans="1:12" x14ac:dyDescent="0.2">
      <c r="A5" t="s">
        <v>6</v>
      </c>
      <c r="B5">
        <v>4</v>
      </c>
      <c r="C5" t="s">
        <v>12</v>
      </c>
      <c r="E5" t="s">
        <v>12</v>
      </c>
      <c r="F5" t="s">
        <v>11</v>
      </c>
      <c r="L5">
        <f>SUM(L2:L4)</f>
        <v>0.71818181818181825</v>
      </c>
    </row>
    <row r="6" spans="1:12" x14ac:dyDescent="0.2">
      <c r="A6" t="s">
        <v>6</v>
      </c>
      <c r="B6">
        <v>5</v>
      </c>
      <c r="C6" t="s">
        <v>13</v>
      </c>
      <c r="E6" t="s">
        <v>13</v>
      </c>
      <c r="F6" t="s">
        <v>11</v>
      </c>
    </row>
    <row r="7" spans="1:12" x14ac:dyDescent="0.2">
      <c r="A7" t="s">
        <v>6</v>
      </c>
      <c r="B7">
        <v>6</v>
      </c>
      <c r="C7" t="s">
        <v>14</v>
      </c>
      <c r="E7" t="s">
        <v>14</v>
      </c>
      <c r="F7" t="s">
        <v>11</v>
      </c>
    </row>
    <row r="8" spans="1:12" x14ac:dyDescent="0.2">
      <c r="A8" t="s">
        <v>6</v>
      </c>
      <c r="B8">
        <v>7</v>
      </c>
      <c r="C8" t="s">
        <v>56</v>
      </c>
      <c r="D8" t="s">
        <v>16</v>
      </c>
      <c r="E8" t="s">
        <v>16</v>
      </c>
      <c r="F8" t="s">
        <v>17</v>
      </c>
    </row>
    <row r="9" spans="1:12" x14ac:dyDescent="0.2">
      <c r="A9" t="s">
        <v>6</v>
      </c>
      <c r="B9">
        <v>8</v>
      </c>
      <c r="C9" t="s">
        <v>20</v>
      </c>
      <c r="E9" t="s">
        <v>20</v>
      </c>
      <c r="F9" t="s">
        <v>21</v>
      </c>
    </row>
    <row r="10" spans="1:12" x14ac:dyDescent="0.2">
      <c r="A10" t="s">
        <v>6</v>
      </c>
      <c r="B10">
        <v>9</v>
      </c>
      <c r="C10" t="s">
        <v>22</v>
      </c>
      <c r="E10" t="s">
        <v>22</v>
      </c>
      <c r="F10" t="s">
        <v>17</v>
      </c>
    </row>
    <row r="11" spans="1:12" x14ac:dyDescent="0.2">
      <c r="A11" t="s">
        <v>6</v>
      </c>
      <c r="B11">
        <v>10</v>
      </c>
      <c r="C11" t="s">
        <v>23</v>
      </c>
      <c r="E11" t="s">
        <v>23</v>
      </c>
      <c r="F11" t="s">
        <v>11</v>
      </c>
    </row>
    <row r="12" spans="1:12" x14ac:dyDescent="0.2">
      <c r="A12" t="s">
        <v>6</v>
      </c>
      <c r="B12">
        <v>11</v>
      </c>
      <c r="C12" t="s">
        <v>24</v>
      </c>
      <c r="E12" t="s">
        <v>24</v>
      </c>
      <c r="F12" t="s">
        <v>25</v>
      </c>
    </row>
    <row r="13" spans="1:12" x14ac:dyDescent="0.2">
      <c r="A13" t="s">
        <v>6</v>
      </c>
      <c r="B13">
        <v>12</v>
      </c>
      <c r="C13" t="s">
        <v>57</v>
      </c>
      <c r="D13" t="s">
        <v>27</v>
      </c>
      <c r="E13" t="s">
        <v>27</v>
      </c>
      <c r="F13" t="s">
        <v>21</v>
      </c>
    </row>
    <row r="14" spans="1:12" x14ac:dyDescent="0.2">
      <c r="A14" t="s">
        <v>6</v>
      </c>
      <c r="B14">
        <v>13</v>
      </c>
      <c r="C14" t="s">
        <v>30</v>
      </c>
      <c r="E14" t="s">
        <v>30</v>
      </c>
      <c r="F14" t="s">
        <v>31</v>
      </c>
    </row>
    <row r="15" spans="1:12" x14ac:dyDescent="0.2">
      <c r="A15" t="s">
        <v>6</v>
      </c>
      <c r="B15">
        <v>14</v>
      </c>
      <c r="C15" t="s">
        <v>32</v>
      </c>
      <c r="D15" t="s">
        <v>33</v>
      </c>
      <c r="E15" t="s">
        <v>34</v>
      </c>
      <c r="F15" t="s">
        <v>31</v>
      </c>
    </row>
    <row r="16" spans="1:12" x14ac:dyDescent="0.2">
      <c r="A16" t="s">
        <v>6</v>
      </c>
      <c r="B16">
        <v>15</v>
      </c>
      <c r="C16" t="s">
        <v>58</v>
      </c>
      <c r="D16" t="s">
        <v>59</v>
      </c>
      <c r="E16" t="s">
        <v>59</v>
      </c>
      <c r="F16" t="s">
        <v>21</v>
      </c>
    </row>
    <row r="17" spans="1:6" x14ac:dyDescent="0.2">
      <c r="A17" t="s">
        <v>6</v>
      </c>
      <c r="B17">
        <v>16</v>
      </c>
      <c r="C17" t="s">
        <v>60</v>
      </c>
      <c r="D17" t="s">
        <v>38</v>
      </c>
      <c r="E17" t="s">
        <v>38</v>
      </c>
      <c r="F17" t="s">
        <v>8</v>
      </c>
    </row>
    <row r="18" spans="1:6" x14ac:dyDescent="0.2">
      <c r="A18" t="s">
        <v>6</v>
      </c>
      <c r="B18">
        <v>17</v>
      </c>
      <c r="C18" t="s">
        <v>47</v>
      </c>
      <c r="E18" t="s">
        <v>47</v>
      </c>
      <c r="F18" t="s">
        <v>31</v>
      </c>
    </row>
    <row r="19" spans="1:6" x14ac:dyDescent="0.2">
      <c r="A19" t="s">
        <v>6</v>
      </c>
      <c r="B19">
        <v>18</v>
      </c>
      <c r="C19" t="s">
        <v>61</v>
      </c>
      <c r="D19" t="s">
        <v>36</v>
      </c>
      <c r="E19" t="s">
        <v>36</v>
      </c>
      <c r="F19" t="s">
        <v>31</v>
      </c>
    </row>
    <row r="20" spans="1:6" x14ac:dyDescent="0.2">
      <c r="A20" t="s">
        <v>6</v>
      </c>
      <c r="B20">
        <v>19</v>
      </c>
      <c r="C20" t="s">
        <v>62</v>
      </c>
      <c r="D20" t="s">
        <v>45</v>
      </c>
      <c r="E20" t="s">
        <v>45</v>
      </c>
      <c r="F20" t="s">
        <v>17</v>
      </c>
    </row>
    <row r="21" spans="1:6" x14ac:dyDescent="0.2">
      <c r="A21" t="s">
        <v>6</v>
      </c>
      <c r="B21">
        <v>20</v>
      </c>
      <c r="C21" t="s">
        <v>63</v>
      </c>
      <c r="D21" t="s">
        <v>45</v>
      </c>
      <c r="E21" t="s">
        <v>45</v>
      </c>
      <c r="F21" t="s">
        <v>17</v>
      </c>
    </row>
    <row r="22" spans="1:6" x14ac:dyDescent="0.2">
      <c r="A22" t="s">
        <v>6</v>
      </c>
      <c r="B22">
        <v>21</v>
      </c>
      <c r="C22" t="s">
        <v>64</v>
      </c>
      <c r="D22" t="s">
        <v>45</v>
      </c>
      <c r="E22" t="s">
        <v>45</v>
      </c>
      <c r="F22" t="s">
        <v>17</v>
      </c>
    </row>
    <row r="23" spans="1:6" x14ac:dyDescent="0.2">
      <c r="A23" t="s">
        <v>6</v>
      </c>
      <c r="B23">
        <v>22</v>
      </c>
      <c r="C23" t="s">
        <v>65</v>
      </c>
      <c r="E23" t="s">
        <v>50</v>
      </c>
      <c r="F23" t="s">
        <v>50</v>
      </c>
    </row>
    <row r="25" spans="1:6" x14ac:dyDescent="0.2">
      <c r="A25" t="s">
        <v>48</v>
      </c>
      <c r="B25">
        <v>1</v>
      </c>
      <c r="C25" t="s">
        <v>66</v>
      </c>
      <c r="E25" t="s">
        <v>50</v>
      </c>
      <c r="F25" t="s">
        <v>50</v>
      </c>
    </row>
    <row r="26" spans="1:6" x14ac:dyDescent="0.2">
      <c r="A26" t="s">
        <v>48</v>
      </c>
      <c r="B26">
        <v>2</v>
      </c>
      <c r="C26" t="s">
        <v>67</v>
      </c>
      <c r="E26" t="s">
        <v>50</v>
      </c>
      <c r="F26" t="s">
        <v>50</v>
      </c>
    </row>
    <row r="27" spans="1:6" x14ac:dyDescent="0.2">
      <c r="A27" t="s">
        <v>48</v>
      </c>
      <c r="B27">
        <v>3</v>
      </c>
      <c r="C27" t="s">
        <v>68</v>
      </c>
      <c r="E27" t="s">
        <v>50</v>
      </c>
      <c r="F27" t="s">
        <v>50</v>
      </c>
    </row>
    <row r="29" spans="1:6" x14ac:dyDescent="0.2">
      <c r="A29" t="s">
        <v>53</v>
      </c>
      <c r="B29">
        <v>1</v>
      </c>
      <c r="C29" t="s">
        <v>69</v>
      </c>
      <c r="E29" t="s">
        <v>70</v>
      </c>
      <c r="F29" t="s">
        <v>31</v>
      </c>
    </row>
    <row r="30" spans="1:6" x14ac:dyDescent="0.2">
      <c r="A30" t="s">
        <v>53</v>
      </c>
      <c r="B30">
        <v>2</v>
      </c>
      <c r="C30" t="s">
        <v>71</v>
      </c>
      <c r="E30" t="s">
        <v>50</v>
      </c>
      <c r="F30" t="s">
        <v>50</v>
      </c>
    </row>
    <row r="31" spans="1:6" x14ac:dyDescent="0.2">
      <c r="A31" t="s">
        <v>53</v>
      </c>
      <c r="B31">
        <v>3</v>
      </c>
      <c r="C31" t="s">
        <v>72</v>
      </c>
      <c r="E31" t="s">
        <v>50</v>
      </c>
      <c r="F31" t="s">
        <v>50</v>
      </c>
    </row>
    <row r="32" spans="1:6" x14ac:dyDescent="0.2">
      <c r="A32" t="s">
        <v>53</v>
      </c>
      <c r="B32">
        <v>4</v>
      </c>
      <c r="C32" t="s">
        <v>73</v>
      </c>
      <c r="E32" t="s">
        <v>50</v>
      </c>
      <c r="F3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1760-7569-4A42-9FF6-7896E6FE4F10}">
  <dimension ref="A1:L31"/>
  <sheetViews>
    <sheetView workbookViewId="0">
      <selection activeCell="L2" sqref="L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">
      <c r="A2" t="s">
        <v>6</v>
      </c>
      <c r="B2">
        <v>1</v>
      </c>
      <c r="C2" t="s">
        <v>7</v>
      </c>
      <c r="E2" t="s">
        <v>7</v>
      </c>
      <c r="F2" t="s">
        <v>8</v>
      </c>
      <c r="H2">
        <v>18</v>
      </c>
      <c r="I2">
        <v>18</v>
      </c>
      <c r="J2">
        <f>H2/I2</f>
        <v>1</v>
      </c>
      <c r="K2">
        <v>0.7</v>
      </c>
      <c r="L2">
        <f>J2*K2</f>
        <v>0.7</v>
      </c>
    </row>
    <row r="3" spans="1:12" x14ac:dyDescent="0.2">
      <c r="A3" t="s">
        <v>6</v>
      </c>
      <c r="B3">
        <v>2</v>
      </c>
      <c r="C3" t="s">
        <v>55</v>
      </c>
      <c r="E3" t="s">
        <v>55</v>
      </c>
      <c r="F3" t="s">
        <v>11</v>
      </c>
      <c r="H3">
        <v>0</v>
      </c>
      <c r="I3">
        <v>5</v>
      </c>
      <c r="J3">
        <f>H3/I3</f>
        <v>0</v>
      </c>
      <c r="K3">
        <v>0.1</v>
      </c>
      <c r="L3">
        <f>J3*K3</f>
        <v>0</v>
      </c>
    </row>
    <row r="4" spans="1:12" x14ac:dyDescent="0.2">
      <c r="A4" t="s">
        <v>6</v>
      </c>
      <c r="B4">
        <v>3</v>
      </c>
      <c r="C4" t="s">
        <v>12</v>
      </c>
      <c r="E4" t="s">
        <v>12</v>
      </c>
      <c r="F4" t="s">
        <v>11</v>
      </c>
      <c r="H4">
        <v>1</v>
      </c>
      <c r="I4">
        <v>5</v>
      </c>
      <c r="J4">
        <f>H4/I4</f>
        <v>0.2</v>
      </c>
      <c r="K4">
        <v>0.2</v>
      </c>
      <c r="L4">
        <f>J4*K4</f>
        <v>4.0000000000000008E-2</v>
      </c>
    </row>
    <row r="5" spans="1:12" x14ac:dyDescent="0.2">
      <c r="A5" t="s">
        <v>6</v>
      </c>
      <c r="B5">
        <v>4</v>
      </c>
      <c r="C5" t="s">
        <v>74</v>
      </c>
      <c r="E5" t="s">
        <v>74</v>
      </c>
      <c r="F5" t="s">
        <v>25</v>
      </c>
      <c r="L5">
        <f>SUM(L2:L4)</f>
        <v>0.74</v>
      </c>
    </row>
    <row r="6" spans="1:12" x14ac:dyDescent="0.2">
      <c r="A6" t="s">
        <v>6</v>
      </c>
      <c r="B6">
        <v>5</v>
      </c>
      <c r="C6" t="s">
        <v>75</v>
      </c>
      <c r="E6" t="s">
        <v>75</v>
      </c>
      <c r="F6" t="s">
        <v>8</v>
      </c>
    </row>
    <row r="7" spans="1:12" x14ac:dyDescent="0.2">
      <c r="A7" t="s">
        <v>6</v>
      </c>
      <c r="B7">
        <v>6</v>
      </c>
      <c r="C7" t="s">
        <v>13</v>
      </c>
      <c r="E7" t="s">
        <v>13</v>
      </c>
      <c r="F7" t="s">
        <v>11</v>
      </c>
    </row>
    <row r="8" spans="1:12" x14ac:dyDescent="0.2">
      <c r="A8" t="s">
        <v>6</v>
      </c>
      <c r="B8">
        <v>7</v>
      </c>
      <c r="C8" t="s">
        <v>14</v>
      </c>
      <c r="E8" t="s">
        <v>14</v>
      </c>
      <c r="F8" t="s">
        <v>11</v>
      </c>
    </row>
    <row r="9" spans="1:12" x14ac:dyDescent="0.2">
      <c r="A9" t="s">
        <v>6</v>
      </c>
      <c r="B9">
        <v>8</v>
      </c>
      <c r="C9" t="s">
        <v>76</v>
      </c>
      <c r="D9" t="s">
        <v>16</v>
      </c>
      <c r="E9" t="s">
        <v>16</v>
      </c>
      <c r="F9" t="s">
        <v>17</v>
      </c>
    </row>
    <row r="10" spans="1:12" x14ac:dyDescent="0.2">
      <c r="A10" t="s">
        <v>6</v>
      </c>
      <c r="B10">
        <v>9</v>
      </c>
      <c r="C10" t="s">
        <v>77</v>
      </c>
      <c r="E10" t="s">
        <v>77</v>
      </c>
      <c r="F10" t="s">
        <v>78</v>
      </c>
    </row>
    <row r="11" spans="1:12" x14ac:dyDescent="0.2">
      <c r="A11" t="s">
        <v>6</v>
      </c>
      <c r="B11">
        <v>10</v>
      </c>
      <c r="C11" t="s">
        <v>79</v>
      </c>
      <c r="E11" t="s">
        <v>79</v>
      </c>
      <c r="F11" t="s">
        <v>78</v>
      </c>
    </row>
    <row r="12" spans="1:12" x14ac:dyDescent="0.2">
      <c r="A12" t="s">
        <v>6</v>
      </c>
      <c r="B12">
        <v>11</v>
      </c>
      <c r="C12" t="s">
        <v>80</v>
      </c>
      <c r="E12" t="s">
        <v>80</v>
      </c>
      <c r="F12" t="s">
        <v>78</v>
      </c>
    </row>
    <row r="13" spans="1:12" x14ac:dyDescent="0.2">
      <c r="A13" t="s">
        <v>6</v>
      </c>
      <c r="B13">
        <v>12</v>
      </c>
      <c r="C13" t="s">
        <v>81</v>
      </c>
      <c r="E13" t="s">
        <v>81</v>
      </c>
      <c r="F13" t="s">
        <v>11</v>
      </c>
    </row>
    <row r="14" spans="1:12" x14ac:dyDescent="0.2">
      <c r="A14" t="s">
        <v>6</v>
      </c>
      <c r="B14">
        <v>13</v>
      </c>
      <c r="C14" t="s">
        <v>20</v>
      </c>
      <c r="E14" t="s">
        <v>20</v>
      </c>
      <c r="F14" t="s">
        <v>21</v>
      </c>
    </row>
    <row r="15" spans="1:12" x14ac:dyDescent="0.2">
      <c r="A15" t="s">
        <v>6</v>
      </c>
      <c r="B15">
        <v>14</v>
      </c>
      <c r="C15" t="s">
        <v>23</v>
      </c>
      <c r="E15" t="s">
        <v>23</v>
      </c>
      <c r="F15" t="s">
        <v>11</v>
      </c>
    </row>
    <row r="16" spans="1:12" x14ac:dyDescent="0.2">
      <c r="A16" t="s">
        <v>6</v>
      </c>
      <c r="B16">
        <v>15</v>
      </c>
      <c r="C16" t="s">
        <v>82</v>
      </c>
      <c r="E16" t="s">
        <v>82</v>
      </c>
      <c r="F16" t="s">
        <v>25</v>
      </c>
    </row>
    <row r="17" spans="1:6" x14ac:dyDescent="0.2">
      <c r="A17" t="s">
        <v>6</v>
      </c>
      <c r="B17">
        <v>16</v>
      </c>
      <c r="C17" t="s">
        <v>83</v>
      </c>
      <c r="D17" t="s">
        <v>84</v>
      </c>
      <c r="E17" t="s">
        <v>84</v>
      </c>
      <c r="F17" t="s">
        <v>8</v>
      </c>
    </row>
    <row r="18" spans="1:6" x14ac:dyDescent="0.2">
      <c r="A18" t="s">
        <v>6</v>
      </c>
      <c r="B18">
        <v>17</v>
      </c>
      <c r="C18" t="s">
        <v>27</v>
      </c>
      <c r="E18" t="s">
        <v>27</v>
      </c>
      <c r="F18" t="s">
        <v>21</v>
      </c>
    </row>
    <row r="19" spans="1:6" x14ac:dyDescent="0.2">
      <c r="A19" t="s">
        <v>6</v>
      </c>
      <c r="B19">
        <v>18</v>
      </c>
      <c r="C19" t="s">
        <v>85</v>
      </c>
      <c r="E19" t="s">
        <v>85</v>
      </c>
      <c r="F19" t="s">
        <v>78</v>
      </c>
    </row>
    <row r="21" spans="1:6" x14ac:dyDescent="0.2">
      <c r="A21" t="s">
        <v>48</v>
      </c>
      <c r="B21">
        <v>1</v>
      </c>
      <c r="C21" t="s">
        <v>86</v>
      </c>
      <c r="E21" t="s">
        <v>50</v>
      </c>
      <c r="F21" t="s">
        <v>50</v>
      </c>
    </row>
    <row r="22" spans="1:6" x14ac:dyDescent="0.2">
      <c r="A22" t="s">
        <v>48</v>
      </c>
      <c r="B22">
        <v>2</v>
      </c>
      <c r="C22" t="s">
        <v>87</v>
      </c>
      <c r="E22" t="s">
        <v>50</v>
      </c>
      <c r="F22" t="s">
        <v>50</v>
      </c>
    </row>
    <row r="23" spans="1:6" x14ac:dyDescent="0.2">
      <c r="A23" t="s">
        <v>48</v>
      </c>
      <c r="B23">
        <v>3</v>
      </c>
      <c r="C23" t="s">
        <v>88</v>
      </c>
      <c r="E23" t="s">
        <v>50</v>
      </c>
      <c r="F23" t="s">
        <v>50</v>
      </c>
    </row>
    <row r="24" spans="1:6" x14ac:dyDescent="0.2">
      <c r="A24" t="s">
        <v>48</v>
      </c>
      <c r="B24">
        <v>4</v>
      </c>
      <c r="C24" t="s">
        <v>89</v>
      </c>
      <c r="E24" t="s">
        <v>50</v>
      </c>
      <c r="F24" t="s">
        <v>50</v>
      </c>
    </row>
    <row r="25" spans="1:6" x14ac:dyDescent="0.2">
      <c r="A25" t="s">
        <v>48</v>
      </c>
      <c r="B25">
        <v>5</v>
      </c>
      <c r="C25" t="s">
        <v>90</v>
      </c>
      <c r="E25" t="s">
        <v>50</v>
      </c>
      <c r="F25" t="s">
        <v>50</v>
      </c>
    </row>
    <row r="27" spans="1:6" x14ac:dyDescent="0.2">
      <c r="A27" t="s">
        <v>53</v>
      </c>
      <c r="B27">
        <v>1</v>
      </c>
      <c r="C27" t="s">
        <v>91</v>
      </c>
      <c r="E27" t="s">
        <v>50</v>
      </c>
      <c r="F27" t="s">
        <v>50</v>
      </c>
    </row>
    <row r="28" spans="1:6" x14ac:dyDescent="0.2">
      <c r="A28" t="s">
        <v>53</v>
      </c>
      <c r="B28">
        <v>2</v>
      </c>
      <c r="C28" t="s">
        <v>92</v>
      </c>
      <c r="E28" t="s">
        <v>50</v>
      </c>
      <c r="F28" t="s">
        <v>50</v>
      </c>
    </row>
    <row r="29" spans="1:6" x14ac:dyDescent="0.2">
      <c r="A29" t="s">
        <v>53</v>
      </c>
      <c r="B29">
        <v>3</v>
      </c>
      <c r="C29" t="s">
        <v>93</v>
      </c>
      <c r="E29" t="s">
        <v>50</v>
      </c>
      <c r="F29" t="s">
        <v>50</v>
      </c>
    </row>
    <row r="30" spans="1:6" x14ac:dyDescent="0.2">
      <c r="A30" t="s">
        <v>53</v>
      </c>
      <c r="B30">
        <v>4</v>
      </c>
      <c r="C30" t="s">
        <v>94</v>
      </c>
      <c r="E30" t="s">
        <v>95</v>
      </c>
      <c r="F30" t="s">
        <v>21</v>
      </c>
    </row>
    <row r="31" spans="1:6" x14ac:dyDescent="0.2">
      <c r="A31" t="s">
        <v>53</v>
      </c>
      <c r="B31">
        <v>5</v>
      </c>
      <c r="C31" t="s">
        <v>96</v>
      </c>
      <c r="E31" t="s">
        <v>50</v>
      </c>
      <c r="F3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Dae-Kyoo Kim</dc:creator>
  <cp:lastModifiedBy>Dae-Kyoo Kim</cp:lastModifiedBy>
  <dcterms:created xsi:type="dcterms:W3CDTF">2026-05-04T19:48:31Z</dcterms:created>
  <dcterms:modified xsi:type="dcterms:W3CDTF">2026-05-04T22:50:56Z</dcterms:modified>
</cp:coreProperties>
</file>